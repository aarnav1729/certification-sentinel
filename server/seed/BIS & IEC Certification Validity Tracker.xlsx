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D drive\Praful Bharadwaj\E Drive Backup\DATASHEET AND BROCHURE PEL AND PEPPL\Sales Kit\"/>
    </mc:Choice>
  </mc:AlternateContent>
  <xr:revisionPtr revIDLastSave="0" documentId="8_{4119D9C8-5C29-4904-AE3A-251D58680A4C}" xr6:coauthVersionLast="47" xr6:coauthVersionMax="47" xr10:uidLastSave="{00000000-0000-0000-0000-000000000000}"/>
  <bookViews>
    <workbookView xWindow="-110" yWindow="-110" windowWidth="19420" windowHeight="10300" xr2:uid="{C422C340-B9F7-42FE-A49C-7CB6092162BF}"/>
  </bookViews>
  <sheets>
    <sheet name="BIS Registration 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M10" i="1" s="1"/>
  <c r="L9" i="1"/>
  <c r="L8" i="1"/>
  <c r="M8" i="1" s="1"/>
  <c r="L7" i="1"/>
  <c r="L6" i="1"/>
  <c r="M6" i="1" s="1"/>
  <c r="L5" i="1"/>
  <c r="L4" i="1"/>
  <c r="M4" i="1" s="1"/>
  <c r="L3" i="1"/>
  <c r="L2" i="1"/>
  <c r="M2" i="1" s="1"/>
</calcChain>
</file>

<file path=xl/sharedStrings.xml><?xml version="1.0" encoding="utf-8"?>
<sst xmlns="http://schemas.openxmlformats.org/spreadsheetml/2006/main" count="62" uniqueCount="40">
  <si>
    <t>S.no</t>
  </si>
  <si>
    <t>Plant</t>
  </si>
  <si>
    <t>Address</t>
  </si>
  <si>
    <t>R- No</t>
  </si>
  <si>
    <t>Type</t>
  </si>
  <si>
    <t>Status</t>
  </si>
  <si>
    <t xml:space="preserve">Model List
</t>
  </si>
  <si>
    <t>Standard</t>
  </si>
  <si>
    <t>Validity from</t>
  </si>
  <si>
    <t>Validity Upto</t>
  </si>
  <si>
    <t>Renewal Satus</t>
  </si>
  <si>
    <t>Alarm Alert(6 month period)</t>
  </si>
  <si>
    <t>Action</t>
  </si>
  <si>
    <t>PEPPL (P2)</t>
  </si>
  <si>
    <t>PLOT NO 8/B/1 AND 8/B/2, SY NO 62 P 63 P AND 88 P, E CITY, RAVIRYALA VILLAGE, MAHESHWARAM MANDAL, RANGA REDDY, TELANGANA, 501359</t>
  </si>
  <si>
    <t>R-63002356</t>
  </si>
  <si>
    <t>BIS</t>
  </si>
  <si>
    <t>Active</t>
  </si>
  <si>
    <t xml:space="preserve">Perc Monofacial M10: PE-XXXHM(where xxx- 555 to 520)
Perc Transparent BS M10: PE-XXXHB(where xxx- 550 to 525)
Perc Dual Glass M10: PE-XXXHGB(where xxx- 550 to 525)
</t>
  </si>
  <si>
    <t>IS 14286 : 2010/ IEC 61215 : 2005, IS/IEC 61730 (PART 1) : 2004 &amp; IS/IEC 61730 (PART 2) : 2004</t>
  </si>
  <si>
    <t xml:space="preserve">
ID 1111296708</t>
  </si>
  <si>
    <t>IEC</t>
  </si>
  <si>
    <t xml:space="preserve">Perc Monofacial M10: PE-XXXHM(where xxx- 555 to 520)
Perc Transparent BS M10: PE-XXXHB(where xxx- 555 to 525)
Perc Dual Glass M10: PE-XXXHGB(where xxx- 560 to 525)
TopCON Dual Glass M10: PEI-144-xxxTHGB-M10 (where xxx- 590 to 560)
PERC Dual Glass G12: PEI-132-xxxHGB-G12(where xxx-670 to 645)
TopCON Dual Glass G12R: PE-132-xxxTHGB-G12R (where xxx-630 to 570)
</t>
  </si>
  <si>
    <t xml:space="preserve">IEC 61215-1:2021 
IEC 61215-1-1:2021 
IEC 61215-2:2021 
IEC 61730-1:2023 
IEC 61730-2:2023 
EN IEC 61215-1:2021 
EN IEC 61215-1-1:2021 
EN IEC 61215-2:2021 
EN IEC 61730-1:2018 
EN IEC 61730-2:2018 </t>
  </si>
  <si>
    <t>PEIPL (P4)</t>
  </si>
  <si>
    <t>PLOT NOS. S-95, S-96, S-100, S-101, S-102, S-103 &amp; S-104, RAVIRYALA, RAVIRYAL(V),MAHESWARAM(M), RANGAREDDY(D)- 501359</t>
  </si>
  <si>
    <t>R-63003719</t>
  </si>
  <si>
    <t>Under process</t>
  </si>
  <si>
    <t xml:space="preserve">Perc Transparent M10: PEI-144-xxxHB-M10 (where xxx- 555 to 525)
Perc Dual Glass M10: PEI-144-xxxHGB-M10 (where xxx- 555 to 525)
TopCON Dual Glass M10: PEI-144-xxxTHGB-M10 (where xxx- 590 to 560)
PERC Dual Glass G12: PEI-132-xxxHGB-G12(where xxx-670 to 645)
TopCON Dual Glass G12R: PE-132-xxxTHGB-G12R (where xxx-630 to 600)
</t>
  </si>
  <si>
    <t>ID 1111296708</t>
  </si>
  <si>
    <t>PEGEPL(P5)</t>
  </si>
  <si>
    <t>S-95,S-96,S-100,S-101,S-102,S-103 AND S-104/ PART 1, E CITY,RAVIRYALA,MAHESWARAM, MAHESWARAM,RANGAREDDY-501359 TELANGANA,India-501359</t>
  </si>
  <si>
    <t>R-63004740</t>
  </si>
  <si>
    <t xml:space="preserve">
TopCON Dual Glass M10: PEI-144-xxxTHGB-M10 (where xxx- 590 to 560)
TopCON Dual Glass G12R: PE-132-xxxTHGB-G12R (where xxx-630 to 600)
TopCON Dual Glass G12: PE-132-xxxTHGB-G12 (where xxx-680 to 710)
</t>
  </si>
  <si>
    <t>PEGEPL(P6)</t>
  </si>
  <si>
    <t>303, 304, 305 AND 306/2, IALA-MAHESWARAM, RANGAREDDY</t>
  </si>
  <si>
    <t>R-63005460</t>
  </si>
  <si>
    <t xml:space="preserve">TopCON Dual Glass G12R: PE-132-xxxTHGB-G12R (where xxx-630 to 600)
</t>
  </si>
  <si>
    <t>IS 14286 (PART 1/SEC 1) : 2023/ IEC 61215-1-1: 2021 &amp; IS/IEC 61730-1: 2016 &amp; IS/IEC 61730-2: 2016</t>
  </si>
  <si>
    <t>PEGEPL(P7)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</si>
</sst>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54429</xdr:colOff>
      <xdr:row>2</xdr:row>
      <xdr:rowOff>45357</xdr:rowOff>
    </xdr:from>
    <xdr:to>
      <xdr:col>3</xdr:col>
      <xdr:colOff>1851571</xdr:colOff>
      <xdr:row>2</xdr:row>
      <xdr:rowOff>1004256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845AD2-F2D2-4833-B6A4-538D8866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2929" y="1035957"/>
          <a:ext cx="1797142" cy="958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03BB-478E-446F-8EB7-44EA2C0C1F70}">
  <dimension ref="A1:M11"/>
  <sheetViews>
    <sheetView tabSelected="1" zoomScale="70" zoomScaleNormal="70" workbookViewId="0">
      <pane xSplit="6" ySplit="3" topLeftCell="G4" activePane="bottomRight" state="frozen"/>
      <selection pane="bottomRight" activeCell="L3" sqref="L3"/>
      <selection pane="bottomLeft" activeCell="A4" sqref="A4"/>
      <selection pane="topRight" activeCell="G1" sqref="G1"/>
    </sheetView>
  </sheetViews>
  <sheetFormatPr defaultColWidth="8.83203125" defaultRowHeight="12.95"/>
  <cols>
    <col min="1" max="1" width="8.83203125" style="18"/>
    <col min="2" max="2" width="15" style="6" customWidth="1"/>
    <col min="3" max="3" width="47.1640625" style="6" customWidth="1"/>
    <col min="4" max="4" width="34.33203125" style="6" customWidth="1"/>
    <col min="5" max="5" width="15" style="20" customWidth="1"/>
    <col min="6" max="6" width="18" style="6" customWidth="1"/>
    <col min="7" max="7" width="78.33203125" style="6" customWidth="1"/>
    <col min="8" max="8" width="35.6640625" style="6" customWidth="1"/>
    <col min="9" max="9" width="17.33203125" style="6" customWidth="1"/>
    <col min="10" max="10" width="16.1640625" style="6" customWidth="1"/>
    <col min="11" max="11" width="18.6640625" style="6" customWidth="1"/>
    <col min="12" max="12" width="26.5" style="6" customWidth="1"/>
    <col min="13" max="13" width="34.83203125" style="6" customWidth="1"/>
    <col min="14" max="14" width="23.1640625" style="6" customWidth="1"/>
    <col min="15" max="16384" width="8.83203125" style="6"/>
  </cols>
  <sheetData>
    <row r="1" spans="1:13" ht="26.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</row>
    <row r="2" spans="1:13" ht="51.95">
      <c r="A2" s="21">
        <v>1</v>
      </c>
      <c r="B2" s="23" t="s">
        <v>13</v>
      </c>
      <c r="C2" s="25" t="s">
        <v>14</v>
      </c>
      <c r="D2" s="5" t="s">
        <v>15</v>
      </c>
      <c r="E2" s="7" t="s">
        <v>16</v>
      </c>
      <c r="F2" s="5" t="s">
        <v>17</v>
      </c>
      <c r="G2" s="8" t="s">
        <v>18</v>
      </c>
      <c r="H2" s="8" t="s">
        <v>19</v>
      </c>
      <c r="I2" s="9">
        <v>44406</v>
      </c>
      <c r="J2" s="9">
        <v>45135</v>
      </c>
      <c r="K2" s="10">
        <v>46962</v>
      </c>
      <c r="L2" s="11" t="str">
        <f t="shared" ref="L2:L10" ca="1" si="0">IF(IF(K2&gt;0, K2-TODAY(), J2-TODAY())&lt;180, "Start Certification", "-")</f>
        <v>-</v>
      </c>
      <c r="M2" s="5" t="str">
        <f ca="1">IF(L2="Start Certification", "Samples are already submitted. Expected BIS certification by WW3 of Jan'26", "-")</f>
        <v>-</v>
      </c>
    </row>
    <row r="3" spans="1:13" ht="142.5" customHeight="1">
      <c r="A3" s="22"/>
      <c r="B3" s="24"/>
      <c r="C3" s="26"/>
      <c r="D3" s="8" t="s">
        <v>20</v>
      </c>
      <c r="E3" s="7" t="s">
        <v>21</v>
      </c>
      <c r="F3" s="5" t="s">
        <v>17</v>
      </c>
      <c r="G3" s="12" t="s">
        <v>22</v>
      </c>
      <c r="H3" s="8" t="s">
        <v>23</v>
      </c>
      <c r="I3" s="9">
        <v>45681</v>
      </c>
      <c r="J3" s="9">
        <v>47506</v>
      </c>
      <c r="K3" s="10"/>
      <c r="L3" s="11" t="str">
        <f t="shared" ca="1" si="0"/>
        <v>-</v>
      </c>
      <c r="M3" s="5"/>
    </row>
    <row r="4" spans="1:13" ht="78">
      <c r="A4" s="21">
        <v>2</v>
      </c>
      <c r="B4" s="23" t="s">
        <v>24</v>
      </c>
      <c r="C4" s="25" t="s">
        <v>25</v>
      </c>
      <c r="D4" s="5" t="s">
        <v>26</v>
      </c>
      <c r="E4" s="7" t="s">
        <v>16</v>
      </c>
      <c r="F4" s="5" t="s">
        <v>27</v>
      </c>
      <c r="G4" s="8" t="s">
        <v>28</v>
      </c>
      <c r="H4" s="8" t="s">
        <v>19</v>
      </c>
      <c r="I4" s="9">
        <v>45279</v>
      </c>
      <c r="J4" s="13">
        <v>46009</v>
      </c>
      <c r="K4" s="14"/>
      <c r="L4" s="11" t="str">
        <f t="shared" ca="1" si="0"/>
        <v>Start Certification</v>
      </c>
      <c r="M4" s="8" t="str">
        <f ca="1">IF(L4="Start Certification", "Samples are already submitted. Expected BIS certification by W3 of Jan'26", "-")</f>
        <v>Samples are already submitted. Expected BIS certification by W3 of Jan'26</v>
      </c>
    </row>
    <row r="5" spans="1:13" ht="147" customHeight="1">
      <c r="A5" s="22"/>
      <c r="B5" s="24"/>
      <c r="C5" s="26"/>
      <c r="D5" s="5" t="s">
        <v>29</v>
      </c>
      <c r="E5" s="7" t="s">
        <v>21</v>
      </c>
      <c r="F5" s="5" t="s">
        <v>17</v>
      </c>
      <c r="G5" s="12" t="s">
        <v>22</v>
      </c>
      <c r="H5" s="8" t="s">
        <v>23</v>
      </c>
      <c r="I5" s="9">
        <v>45681</v>
      </c>
      <c r="J5" s="9">
        <v>47506</v>
      </c>
      <c r="K5" s="14"/>
      <c r="L5" s="11" t="str">
        <f t="shared" ca="1" si="0"/>
        <v>-</v>
      </c>
      <c r="M5" s="8"/>
    </row>
    <row r="6" spans="1:13" ht="115.5" customHeight="1">
      <c r="A6" s="21">
        <v>3</v>
      </c>
      <c r="B6" s="23" t="s">
        <v>30</v>
      </c>
      <c r="C6" s="25" t="s">
        <v>31</v>
      </c>
      <c r="D6" s="5" t="s">
        <v>32</v>
      </c>
      <c r="E6" s="7" t="s">
        <v>16</v>
      </c>
      <c r="F6" s="5" t="s">
        <v>17</v>
      </c>
      <c r="G6" s="8" t="s">
        <v>33</v>
      </c>
      <c r="H6" s="8" t="s">
        <v>19</v>
      </c>
      <c r="I6" s="9">
        <v>45678</v>
      </c>
      <c r="J6" s="10">
        <v>46396</v>
      </c>
      <c r="K6" s="14"/>
      <c r="L6" s="11" t="str">
        <f t="shared" ca="1" si="0"/>
        <v>-</v>
      </c>
      <c r="M6" s="5" t="str">
        <f t="shared" ref="M6:M10" ca="1" si="1">IF(L6="Start Certification", "Samples are already submitted. Expected BIS certification by WW3 of Jan'26", "-")</f>
        <v>-</v>
      </c>
    </row>
    <row r="7" spans="1:13" ht="129.94999999999999">
      <c r="A7" s="22"/>
      <c r="B7" s="24"/>
      <c r="C7" s="26"/>
      <c r="D7" s="5" t="s">
        <v>29</v>
      </c>
      <c r="E7" s="7" t="s">
        <v>21</v>
      </c>
      <c r="F7" s="5" t="s">
        <v>17</v>
      </c>
      <c r="G7" s="12" t="s">
        <v>22</v>
      </c>
      <c r="H7" s="8" t="s">
        <v>23</v>
      </c>
      <c r="I7" s="9">
        <v>45681</v>
      </c>
      <c r="J7" s="9">
        <v>47506</v>
      </c>
      <c r="K7" s="14"/>
      <c r="L7" s="11" t="str">
        <f t="shared" ca="1" si="0"/>
        <v>-</v>
      </c>
      <c r="M7" s="5"/>
    </row>
    <row r="8" spans="1:13" ht="54" customHeight="1">
      <c r="A8" s="21">
        <v>4</v>
      </c>
      <c r="B8" s="23" t="s">
        <v>34</v>
      </c>
      <c r="C8" s="25" t="s">
        <v>35</v>
      </c>
      <c r="D8" s="5" t="s">
        <v>36</v>
      </c>
      <c r="E8" s="7" t="s">
        <v>16</v>
      </c>
      <c r="F8" s="5" t="s">
        <v>17</v>
      </c>
      <c r="G8" s="8" t="s">
        <v>37</v>
      </c>
      <c r="H8" s="15" t="s">
        <v>38</v>
      </c>
      <c r="I8" s="13">
        <v>46002</v>
      </c>
      <c r="J8" s="10">
        <v>46731</v>
      </c>
      <c r="K8" s="14"/>
      <c r="L8" s="11" t="str">
        <f t="shared" ca="1" si="0"/>
        <v>-</v>
      </c>
      <c r="M8" s="5" t="str">
        <f t="shared" ca="1" si="1"/>
        <v>-</v>
      </c>
    </row>
    <row r="9" spans="1:13" ht="138" customHeight="1">
      <c r="A9" s="22"/>
      <c r="B9" s="24"/>
      <c r="C9" s="26"/>
      <c r="D9" s="5" t="s">
        <v>29</v>
      </c>
      <c r="E9" s="7" t="s">
        <v>21</v>
      </c>
      <c r="F9" s="5" t="s">
        <v>17</v>
      </c>
      <c r="G9" s="12" t="s">
        <v>22</v>
      </c>
      <c r="H9" s="8" t="s">
        <v>23</v>
      </c>
      <c r="I9" s="9">
        <v>45681</v>
      </c>
      <c r="J9" s="9">
        <v>47506</v>
      </c>
      <c r="K9" s="14"/>
      <c r="L9" s="11" t="str">
        <f t="shared" ca="1" si="0"/>
        <v>-</v>
      </c>
      <c r="M9" s="5"/>
    </row>
    <row r="10" spans="1:13">
      <c r="A10" s="16">
        <v>5</v>
      </c>
      <c r="B10" s="5" t="s">
        <v>39</v>
      </c>
      <c r="C10" s="14"/>
      <c r="D10" s="14"/>
      <c r="E10" s="7"/>
      <c r="F10" s="14"/>
      <c r="G10" s="14"/>
      <c r="H10" s="14"/>
      <c r="I10" s="14"/>
      <c r="J10" s="14"/>
      <c r="K10" s="14"/>
      <c r="L10" s="11" t="str">
        <f t="shared" ca="1" si="0"/>
        <v>Start Certification</v>
      </c>
      <c r="M10" s="17" t="str">
        <f t="shared" ca="1" si="1"/>
        <v>Samples are already submitted. Expected BIS certification by WW3 of Jan'26</v>
      </c>
    </row>
    <row r="11" spans="1:13">
      <c r="B11" s="19"/>
      <c r="C11" s="19"/>
      <c r="D11" s="19"/>
    </row>
  </sheetData>
  <mergeCells count="12"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conditionalFormatting sqref="E1:E1048576">
    <cfRule type="cellIs" dxfId="2" priority="2" operator="equal">
      <formula>"IEC"</formula>
    </cfRule>
    <cfRule type="cellIs" dxfId="1" priority="3" operator="equal">
      <formula>"BIS"</formula>
    </cfRule>
  </conditionalFormatting>
  <conditionalFormatting sqref="L1:L1048576">
    <cfRule type="cellIs" dxfId="0" priority="1" operator="equal">
      <formula>"Start certification"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Praful Bharadwaj</dc:creator>
  <cp:keywords/>
  <dc:description/>
  <cp:lastModifiedBy/>
  <cp:revision/>
  <dcterms:created xsi:type="dcterms:W3CDTF">2025-12-23T13:02:51Z</dcterms:created>
  <dcterms:modified xsi:type="dcterms:W3CDTF">2025-12-24T15:11:42Z</dcterms:modified>
  <cp:category/>
  <cp:contentStatus/>
</cp:coreProperties>
</file>